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ummary sheet" sheetId="2" r:id="rId6"/>
  </sheets>
  <definedNames/>
  <calcPr/>
</workbook>
</file>

<file path=xl/sharedStrings.xml><?xml version="1.0" encoding="utf-8"?>
<sst xmlns="http://schemas.openxmlformats.org/spreadsheetml/2006/main" count="109" uniqueCount="75">
  <si>
    <t>Customer ID</t>
  </si>
  <si>
    <t>Name</t>
  </si>
  <si>
    <t>Email</t>
  </si>
  <si>
    <t>Country</t>
  </si>
  <si>
    <t>Phone</t>
  </si>
  <si>
    <t>Status</t>
  </si>
  <si>
    <t>Data Issue</t>
  </si>
  <si>
    <t>C001</t>
  </si>
  <si>
    <t>Alice</t>
  </si>
  <si>
    <t>alice@gmail.com</t>
  </si>
  <si>
    <t>South Africa</t>
  </si>
  <si>
    <t>Active</t>
  </si>
  <si>
    <t>No issue</t>
  </si>
  <si>
    <t>C002</t>
  </si>
  <si>
    <t>Ben</t>
  </si>
  <si>
    <t>ben@yahoo</t>
  </si>
  <si>
    <t>Nigeria</t>
  </si>
  <si>
    <t>Pending</t>
  </si>
  <si>
    <t>Invalid email</t>
  </si>
  <si>
    <t>C003</t>
  </si>
  <si>
    <t>Cathy</t>
  </si>
  <si>
    <t>cathy@gmail.com</t>
  </si>
  <si>
    <t>Kenya</t>
  </si>
  <si>
    <t/>
  </si>
  <si>
    <t>Missing phone number</t>
  </si>
  <si>
    <t>C004</t>
  </si>
  <si>
    <t>David</t>
  </si>
  <si>
    <t>david@company.co</t>
  </si>
  <si>
    <t>Uganda</t>
  </si>
  <si>
    <t>Inactive</t>
  </si>
  <si>
    <t>C005</t>
  </si>
  <si>
    <t>Eve</t>
  </si>
  <si>
    <t>eve@gmail.com</t>
  </si>
  <si>
    <t>Zambia</t>
  </si>
  <si>
    <t>C006</t>
  </si>
  <si>
    <t>Frank</t>
  </si>
  <si>
    <t>frank@yahoo.com</t>
  </si>
  <si>
    <t>Tanzania</t>
  </si>
  <si>
    <t>Multiple issues</t>
  </si>
  <si>
    <t>C007</t>
  </si>
  <si>
    <t>Grace</t>
  </si>
  <si>
    <t>grace@gmail.com</t>
  </si>
  <si>
    <t>Botswana</t>
  </si>
  <si>
    <t>C008</t>
  </si>
  <si>
    <t>Hector</t>
  </si>
  <si>
    <t>hector@gmail.com</t>
  </si>
  <si>
    <t>Ghana</t>
  </si>
  <si>
    <t>C009</t>
  </si>
  <si>
    <t>Ivy</t>
  </si>
  <si>
    <t>ivy@yahoo.com</t>
  </si>
  <si>
    <t>C010</t>
  </si>
  <si>
    <t>Jack</t>
  </si>
  <si>
    <t>jack@gmail</t>
  </si>
  <si>
    <t>C011</t>
  </si>
  <si>
    <t>Karen</t>
  </si>
  <si>
    <t>karen@outlook.com</t>
  </si>
  <si>
    <t>Zimbabwe</t>
  </si>
  <si>
    <t>C012</t>
  </si>
  <si>
    <t>Leo</t>
  </si>
  <si>
    <t>leo@gmail.com</t>
  </si>
  <si>
    <t>Namibia</t>
  </si>
  <si>
    <t>C013</t>
  </si>
  <si>
    <t>Mona</t>
  </si>
  <si>
    <t>mona@yahoo.com</t>
  </si>
  <si>
    <t>Lesotho</t>
  </si>
  <si>
    <t>C014</t>
  </si>
  <si>
    <t>Nina</t>
  </si>
  <si>
    <t>nina@gmail.com</t>
  </si>
  <si>
    <t>Rwanda</t>
  </si>
  <si>
    <t>C015</t>
  </si>
  <si>
    <t>Oscar</t>
  </si>
  <si>
    <t>oscar@gmail.com</t>
  </si>
  <si>
    <t>Issue type</t>
  </si>
  <si>
    <t>Count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</si>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</sst>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5" max="5" width="12.0"/>
    <col customWidth="1" min="7" max="7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>
        <v>7.23456789E8</v>
      </c>
      <c r="F2" s="4" t="s">
        <v>11</v>
      </c>
      <c r="G2" s="3" t="s">
        <v>12</v>
      </c>
    </row>
    <row r="3">
      <c r="A3" s="3" t="s">
        <v>13</v>
      </c>
      <c r="B3" s="3" t="s">
        <v>14</v>
      </c>
      <c r="C3" s="3" t="s">
        <v>15</v>
      </c>
      <c r="D3" s="3" t="s">
        <v>16</v>
      </c>
      <c r="E3" s="3">
        <v>8.12345678E8</v>
      </c>
      <c r="F3" s="4" t="s">
        <v>17</v>
      </c>
      <c r="G3" s="3" t="s">
        <v>18</v>
      </c>
    </row>
    <row r="4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4" t="s">
        <v>11</v>
      </c>
      <c r="G4" s="3" t="s">
        <v>24</v>
      </c>
    </row>
    <row r="5">
      <c r="A5" s="3" t="s">
        <v>25</v>
      </c>
      <c r="B5" s="3" t="s">
        <v>26</v>
      </c>
      <c r="C5" s="3" t="s">
        <v>27</v>
      </c>
      <c r="D5" s="3" t="s">
        <v>28</v>
      </c>
      <c r="E5" s="3">
        <v>7.0E8</v>
      </c>
      <c r="F5" s="4" t="s">
        <v>29</v>
      </c>
      <c r="G5" s="3" t="s">
        <v>12</v>
      </c>
    </row>
    <row r="6">
      <c r="A6" s="3" t="s">
        <v>30</v>
      </c>
      <c r="B6" s="3" t="s">
        <v>31</v>
      </c>
      <c r="C6" s="3" t="s">
        <v>32</v>
      </c>
      <c r="D6" s="3" t="s">
        <v>33</v>
      </c>
      <c r="E6" s="3">
        <v>9.7654321E8</v>
      </c>
      <c r="F6" s="4" t="s">
        <v>11</v>
      </c>
      <c r="G6" s="3" t="s">
        <v>12</v>
      </c>
    </row>
    <row r="7">
      <c r="A7" s="3" t="s">
        <v>34</v>
      </c>
      <c r="B7" s="3" t="s">
        <v>35</v>
      </c>
      <c r="C7" s="3" t="s">
        <v>36</v>
      </c>
      <c r="D7" s="3" t="s">
        <v>37</v>
      </c>
      <c r="E7" s="3" t="s">
        <v>17</v>
      </c>
      <c r="F7" s="4" t="s">
        <v>23</v>
      </c>
      <c r="G7" s="3" t="s">
        <v>38</v>
      </c>
    </row>
    <row r="8">
      <c r="A8" s="3" t="s">
        <v>39</v>
      </c>
      <c r="B8" s="3" t="s">
        <v>40</v>
      </c>
      <c r="C8" s="3" t="s">
        <v>41</v>
      </c>
      <c r="D8" s="3" t="s">
        <v>42</v>
      </c>
      <c r="E8" s="3" t="s">
        <v>23</v>
      </c>
      <c r="F8" s="4" t="s">
        <v>11</v>
      </c>
      <c r="G8" s="3" t="s">
        <v>24</v>
      </c>
    </row>
    <row r="9">
      <c r="A9" s="3" t="s">
        <v>43</v>
      </c>
      <c r="B9" s="3" t="s">
        <v>44</v>
      </c>
      <c r="C9" s="3" t="s">
        <v>45</v>
      </c>
      <c r="D9" s="3" t="s">
        <v>46</v>
      </c>
      <c r="E9" s="3">
        <v>5.41234567E8</v>
      </c>
      <c r="F9" s="4" t="s">
        <v>11</v>
      </c>
      <c r="G9" s="3" t="s">
        <v>12</v>
      </c>
    </row>
    <row r="10">
      <c r="A10" s="3" t="s">
        <v>47</v>
      </c>
      <c r="B10" s="3" t="s">
        <v>48</v>
      </c>
      <c r="C10" s="3" t="s">
        <v>49</v>
      </c>
      <c r="D10" s="3" t="s">
        <v>10</v>
      </c>
      <c r="E10" s="3">
        <v>7.21112222E8</v>
      </c>
      <c r="F10" s="4" t="s">
        <v>17</v>
      </c>
      <c r="G10" s="3" t="s">
        <v>12</v>
      </c>
    </row>
    <row r="11">
      <c r="A11" s="3" t="s">
        <v>50</v>
      </c>
      <c r="B11" s="3" t="s">
        <v>51</v>
      </c>
      <c r="C11" s="3" t="s">
        <v>52</v>
      </c>
      <c r="D11" s="3" t="s">
        <v>22</v>
      </c>
      <c r="E11" s="3">
        <v>7.12345678E8</v>
      </c>
      <c r="F11" s="4" t="s">
        <v>11</v>
      </c>
      <c r="G11" s="3" t="s">
        <v>18</v>
      </c>
    </row>
    <row r="12">
      <c r="A12" s="3" t="s">
        <v>53</v>
      </c>
      <c r="B12" s="3" t="s">
        <v>54</v>
      </c>
      <c r="C12" s="3" t="s">
        <v>55</v>
      </c>
      <c r="D12" s="3" t="s">
        <v>56</v>
      </c>
      <c r="E12" s="3" t="s">
        <v>23</v>
      </c>
      <c r="F12" s="4" t="s">
        <v>29</v>
      </c>
      <c r="G12" s="3" t="s">
        <v>24</v>
      </c>
    </row>
    <row r="13">
      <c r="A13" s="3" t="s">
        <v>57</v>
      </c>
      <c r="B13" s="3" t="s">
        <v>58</v>
      </c>
      <c r="C13" s="3" t="s">
        <v>59</v>
      </c>
      <c r="D13" s="3" t="s">
        <v>60</v>
      </c>
      <c r="E13" s="3">
        <v>8.19998888E8</v>
      </c>
      <c r="F13" s="4" t="s">
        <v>11</v>
      </c>
      <c r="G13" s="3" t="s">
        <v>12</v>
      </c>
    </row>
    <row r="14">
      <c r="A14" s="3" t="s">
        <v>61</v>
      </c>
      <c r="B14" s="3" t="s">
        <v>62</v>
      </c>
      <c r="C14" s="3" t="s">
        <v>63</v>
      </c>
      <c r="D14" s="3" t="s">
        <v>64</v>
      </c>
      <c r="E14" s="3" t="s">
        <v>17</v>
      </c>
      <c r="F14" s="4" t="s">
        <v>23</v>
      </c>
      <c r="G14" s="3" t="s">
        <v>38</v>
      </c>
    </row>
    <row r="15">
      <c r="A15" s="3" t="s">
        <v>65</v>
      </c>
      <c r="B15" s="3" t="s">
        <v>66</v>
      </c>
      <c r="C15" s="3" t="s">
        <v>67</v>
      </c>
      <c r="D15" s="3" t="s">
        <v>68</v>
      </c>
      <c r="E15" s="3">
        <v>7.88887777E8</v>
      </c>
      <c r="F15" s="4" t="s">
        <v>11</v>
      </c>
      <c r="G15" s="3" t="s">
        <v>12</v>
      </c>
    </row>
    <row r="16">
      <c r="A16" s="3" t="s">
        <v>69</v>
      </c>
      <c r="B16" s="3" t="s">
        <v>70</v>
      </c>
      <c r="C16" s="3" t="s">
        <v>71</v>
      </c>
      <c r="D16" s="3" t="s">
        <v>10</v>
      </c>
      <c r="E16" s="3">
        <v>7.33334444E8</v>
      </c>
      <c r="F16" s="4" t="s">
        <v>11</v>
      </c>
      <c r="G16" s="3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A1" s="1" t="s">
        <v>72</v>
      </c>
      <c r="B1" s="1" t="s">
        <v>73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  <c r="B2" s="4">
        <f>COUNTIF('Raw data'!G2:G16, "no issue")</f>
        <v>8</v>
      </c>
    </row>
    <row r="3">
      <c r="A3" s="3" t="s">
        <v>18</v>
      </c>
      <c r="B3" s="4">
        <f>COUNTIF('Raw data'!G2:G16, "Invalid email")</f>
        <v>2</v>
      </c>
    </row>
    <row r="4">
      <c r="A4" s="3" t="s">
        <v>24</v>
      </c>
      <c r="B4" s="4">
        <f>COUNTIF('Raw data'!G2:G16, "Missing phone number")</f>
        <v>3</v>
      </c>
    </row>
    <row r="5">
      <c r="A5" s="3" t="s">
        <v>38</v>
      </c>
      <c r="B5" s="4">
        <f>COUNTIF('Raw data'!G2:G16, "Multiple issues")</f>
        <v>2</v>
      </c>
    </row>
    <row r="6">
      <c r="A6" s="1" t="s">
        <v>74</v>
      </c>
      <c r="B6" s="2">
        <f>SUM(B2:B5)</f>
        <v>15</v>
      </c>
    </row>
  </sheetData>
  <drawing r:id="rId1"/>
</worksheet>
</file>